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<sst xmlns="http://schemas.openxmlformats.org/spreadsheetml/2006/main" count="41" uniqueCount="35">
  <si>
    <t xml:space="preserve">Starttime</t>
  </si>
  <si>
    <t xml:space="preserve">Endtime</t>
  </si>
  <si>
    <t xml:space="preserve">Ma</t>
  </si>
  <si>
    <t xml:space="preserve">Di</t>
  </si>
  <si>
    <t xml:space="preserve">Wo</t>
  </si>
  <si>
    <t xml:space="preserve">Do</t>
  </si>
  <si>
    <t xml:space="preserve">Resolution (min)</t>
  </si>
  <si>
    <t xml:space="preserve">Megaspellen</t>
  </si>
  <si>
    <t xml:space="preserve">Pimp je fiets</t>
  </si>
  <si>
    <t xml:space="preserve">3D twister (VVT)</t>
  </si>
  <si>
    <t xml:space="preserve">Arts and Crafts</t>
  </si>
  <si>
    <t xml:space="preserve">Escape Room (VVT)</t>
  </si>
  <si>
    <t xml:space="preserve">D&amp;D</t>
  </si>
  <si>
    <t xml:space="preserve">Botter Rossen (VVT)</t>
  </si>
  <si>
    <t xml:space="preserve">Chillûûûûh</t>
  </si>
  <si>
    <t xml:space="preserve">VVThee (VVT)</t>
  </si>
  <si>
    <t xml:space="preserve">Eten @ Bolk</t>
  </si>
  <si>
    <t xml:space="preserve">Bierviltjesoorlog</t>
  </si>
  <si>
    <t xml:space="preserve">Dozenfort</t>
  </si>
  <si>
    <t xml:space="preserve">Speurtocht (VVT)</t>
  </si>
  <si>
    <t xml:space="preserve">Weerwolven</t>
  </si>
  <si>
    <t xml:space="preserve">Preimeppen</t>
  </si>
  <si>
    <t xml:space="preserve">Sterrenkijken (VVT)</t>
  </si>
  <si>
    <t xml:space="preserve">Band op de boot</t>
  </si>
  <si>
    <t xml:space="preserve">Kijken hoe het klinkt</t>
  </si>
  <si>
    <t xml:space="preserve">Deken is lava (VVT)</t>
  </si>
  <si>
    <t xml:space="preserve">Retrogames</t>
  </si>
  <si>
    <t xml:space="preserve">Spelletjesavond</t>
  </si>
  <si>
    <t xml:space="preserve">Karaoke cocktailnight</t>
  </si>
  <si>
    <t xml:space="preserve">SpeBi proeverij</t>
  </si>
  <si>
    <t xml:space="preserve">Kroegsport</t>
  </si>
  <si>
    <t xml:space="preserve">Kapla</t>
  </si>
  <si>
    <t xml:space="preserve">Blikbierkwartier</t>
  </si>
  <si>
    <t xml:space="preserve">DINSDAG</t>
  </si>
  <si>
    <t xml:space="preserve">4 uur cup a soup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</si>
</sst>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K26" activeCellId="0" sqref="K26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1" width="11.5"/>
    <col collapsed="false" customWidth="true" hidden="false" outlineLevel="0" max="13" min="3" style="2" width="11.5"/>
    <col collapsed="false" customWidth="true" hidden="false" outlineLevel="0" max="15" min="14" style="2" width="8.63"/>
    <col collapsed="false" customWidth="true" hidden="false" outlineLevel="0" max="16" min="16" style="2" width="15.11"/>
    <col collapsed="false" customWidth="true" hidden="false" outlineLevel="0" max="30" min="17" style="2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3" t="s">
        <v>2</v>
      </c>
      <c r="D1" s="3"/>
      <c r="E1" s="3"/>
      <c r="F1" s="3" t="s">
        <v>3</v>
      </c>
      <c r="G1" s="3"/>
      <c r="H1" s="3"/>
      <c r="I1" s="3" t="s">
        <v>4</v>
      </c>
      <c r="J1" s="3"/>
      <c r="K1" s="3"/>
      <c r="L1" s="3" t="s">
        <v>5</v>
      </c>
      <c r="M1" s="3"/>
      <c r="N1" s="3"/>
      <c r="P1" s="2" t="s">
        <v>6</v>
      </c>
      <c r="Q1" s="2" t="n">
        <v>30</v>
      </c>
    </row>
    <row r="2" customFormat="false" ht="12.75" hidden="false" customHeight="true" outlineLevel="0" collapsed="false">
      <c r="A2" s="1" t="n">
        <f aca="false">TIME(17,0,0)</f>
        <v>0.708333333333333</v>
      </c>
      <c r="B2" s="4" t="n">
        <f aca="false">A2+TIME(0,$Q$1,0)</f>
        <v>0.729166666666667</v>
      </c>
      <c r="C2" s="5" t="s">
        <v>7</v>
      </c>
      <c r="D2" s="5" t="s">
        <v>8</v>
      </c>
      <c r="E2" s="5" t="s">
        <v>9</v>
      </c>
      <c r="F2" s="5" t="s">
        <v>10</v>
      </c>
      <c r="G2" s="5"/>
      <c r="H2" s="5" t="s">
        <v>11</v>
      </c>
      <c r="I2" s="5" t="s">
        <v>12</v>
      </c>
      <c r="J2" s="5"/>
      <c r="K2" s="5" t="s">
        <v>13</v>
      </c>
      <c r="L2" s="5" t="s">
        <v>14</v>
      </c>
      <c r="M2" s="5"/>
      <c r="N2" s="5" t="s">
        <v>15</v>
      </c>
    </row>
    <row r="3" customFormat="false" ht="12.75" hidden="false" customHeight="true" outlineLevel="0" collapsed="false">
      <c r="A3" s="1" t="n">
        <f aca="false">A2+TIME(0,$Q$1,0)</f>
        <v>0.729166666666667</v>
      </c>
      <c r="B3" s="4" t="n">
        <f aca="false">A3+TIME(0,$Q$1,0)</f>
        <v>0.75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2.75" hidden="false" customHeight="true" outlineLevel="0" collapsed="false">
      <c r="A4" s="1" t="n">
        <f aca="false">A3+TIME(0,30,0)</f>
        <v>0.75</v>
      </c>
      <c r="B4" s="4" t="n">
        <f aca="false">A4+TIME(0,$Q$1,0)</f>
        <v>0.770833333333333</v>
      </c>
      <c r="C4" s="5" t="s">
        <v>16</v>
      </c>
      <c r="D4" s="5"/>
      <c r="E4" s="5"/>
      <c r="F4" s="5" t="s">
        <v>16</v>
      </c>
      <c r="G4" s="5"/>
      <c r="H4" s="5"/>
      <c r="I4" s="5"/>
      <c r="J4" s="5"/>
      <c r="K4" s="5"/>
      <c r="L4" s="5" t="s">
        <v>16</v>
      </c>
      <c r="M4" s="5"/>
      <c r="N4" s="5"/>
    </row>
    <row r="5" customFormat="false" ht="12.75" hidden="false" customHeight="true" outlineLevel="0" collapsed="false">
      <c r="A5" s="1" t="n">
        <f aca="false">A4+TIME(0,30,0)</f>
        <v>0.770833333333333</v>
      </c>
      <c r="B5" s="4" t="n">
        <f aca="false">A5+TIME(0,$Q$1,0)</f>
        <v>0.791666666666667</v>
      </c>
      <c r="C5" s="5"/>
      <c r="D5" s="5"/>
      <c r="E5" s="5"/>
      <c r="F5" s="5"/>
      <c r="G5" s="5"/>
      <c r="H5" s="5"/>
      <c r="I5" s="5" t="s">
        <v>16</v>
      </c>
      <c r="J5" s="5"/>
      <c r="K5" s="5"/>
      <c r="L5" s="5"/>
      <c r="M5" s="5"/>
      <c r="N5" s="5"/>
    </row>
    <row r="6" customFormat="false" ht="12.75" hidden="false" customHeight="true" outlineLevel="0" collapsed="false">
      <c r="A6" s="1" t="n">
        <f aca="false">A5+TIME(0,30,0)</f>
        <v>0.791666666666667</v>
      </c>
      <c r="B6" s="4" t="n">
        <f aca="false">A6+TIME(0,$Q$1,0)</f>
        <v>0.8125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2.75" hidden="false" customHeight="true" outlineLevel="0" collapsed="false">
      <c r="A7" s="1" t="n">
        <f aca="false">A6+TIME(0,30,0)</f>
        <v>0.8125</v>
      </c>
      <c r="B7" s="4" t="n">
        <f aca="false">A7+TIME(0,$Q$1,0)</f>
        <v>0.833333333333333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2.75" hidden="false" customHeight="true" outlineLevel="0" collapsed="false">
      <c r="A8" s="1" t="n">
        <f aca="false">A7+TIME(0,30,0)</f>
        <v>0.833333333333333</v>
      </c>
      <c r="B8" s="4" t="n">
        <f aca="false">A8+TIME(0,$Q$1,0)</f>
        <v>0.854166666666667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/>
      <c r="J8" s="5"/>
      <c r="K8" s="5"/>
      <c r="L8" s="5" t="s">
        <v>23</v>
      </c>
      <c r="M8" s="5"/>
      <c r="N8" s="5"/>
    </row>
    <row r="9" customFormat="false" ht="12.75" hidden="false" customHeight="true" outlineLevel="0" collapsed="false">
      <c r="A9" s="1" t="n">
        <f aca="false">A8+TIME(0,30,0)</f>
        <v>0.854166666666667</v>
      </c>
      <c r="B9" s="4" t="n">
        <f aca="false">A9+TIME(0,$Q$1,0)</f>
        <v>0.875</v>
      </c>
      <c r="C9" s="5"/>
      <c r="D9" s="5"/>
      <c r="E9" s="5"/>
      <c r="F9" s="5"/>
      <c r="G9" s="5"/>
      <c r="H9" s="5"/>
      <c r="I9" s="5" t="s">
        <v>24</v>
      </c>
      <c r="J9" s="5"/>
      <c r="K9" s="6" t="s">
        <v>25</v>
      </c>
      <c r="L9" s="5"/>
      <c r="M9" s="5"/>
      <c r="N9" s="5"/>
    </row>
    <row r="10" customFormat="false" ht="12.75" hidden="false" customHeight="true" outlineLevel="0" collapsed="false">
      <c r="A10" s="1" t="n">
        <f aca="false">A9+TIME(0,30,0)</f>
        <v>0.875</v>
      </c>
      <c r="B10" s="4" t="n">
        <f aca="false">A10+TIME(0,$Q$1,0)</f>
        <v>0.895833333333333</v>
      </c>
      <c r="C10" s="5" t="s">
        <v>26</v>
      </c>
      <c r="D10" s="5" t="s">
        <v>27</v>
      </c>
      <c r="E10" s="5"/>
      <c r="F10" s="5" t="s">
        <v>28</v>
      </c>
      <c r="G10" s="5"/>
      <c r="H10" s="5"/>
      <c r="I10" s="5"/>
      <c r="J10" s="5"/>
      <c r="K10" s="6"/>
      <c r="L10" s="5"/>
      <c r="M10" s="5"/>
      <c r="N10" s="5"/>
    </row>
    <row r="11" customFormat="false" ht="12.75" hidden="false" customHeight="true" outlineLevel="0" collapsed="false">
      <c r="A11" s="1" t="n">
        <f aca="false">A10+TIME(0,30,0)</f>
        <v>0.895833333333333</v>
      </c>
      <c r="B11" s="4" t="n">
        <f aca="false">A11+TIME(0,$Q$1,0)</f>
        <v>0.916666666666667</v>
      </c>
      <c r="C11" s="5"/>
      <c r="D11" s="5"/>
      <c r="E11" s="5"/>
      <c r="F11" s="5"/>
      <c r="G11" s="5"/>
      <c r="H11" s="5"/>
      <c r="I11" s="5"/>
      <c r="J11" s="5"/>
      <c r="K11" s="6"/>
      <c r="L11" s="5"/>
      <c r="M11" s="5"/>
      <c r="N11" s="5"/>
    </row>
    <row r="12" customFormat="false" ht="12.75" hidden="false" customHeight="true" outlineLevel="0" collapsed="false">
      <c r="A12" s="1" t="n">
        <f aca="false">A11+TIME(0,30,0)</f>
        <v>0.916666666666667</v>
      </c>
      <c r="B12" s="4" t="n">
        <f aca="false">A12+TIME(0,$Q$1,0)</f>
        <v>0.9375</v>
      </c>
      <c r="C12" s="5"/>
      <c r="D12" s="5"/>
      <c r="F12" s="5"/>
      <c r="G12" s="5"/>
      <c r="H12" s="7" t="s">
        <v>28</v>
      </c>
      <c r="I12" s="5"/>
      <c r="J12" s="5"/>
      <c r="K12" s="6"/>
      <c r="L12" s="5"/>
      <c r="M12" s="5"/>
      <c r="N12" s="5"/>
    </row>
    <row r="13" customFormat="false" ht="12.75" hidden="false" customHeight="true" outlineLevel="0" collapsed="false">
      <c r="A13" s="1" t="n">
        <f aca="false">A12+TIME(0,30,0)</f>
        <v>0.9375</v>
      </c>
      <c r="B13" s="4" t="n">
        <f aca="false">A13+TIME(0,$Q$1,0)</f>
        <v>0.958333333333333</v>
      </c>
      <c r="C13" s="5"/>
      <c r="D13" s="5"/>
      <c r="F13" s="5"/>
      <c r="G13" s="5"/>
      <c r="H13" s="7"/>
      <c r="I13" s="5"/>
      <c r="J13" s="5"/>
      <c r="K13" s="6"/>
      <c r="L13" s="5"/>
      <c r="M13" s="5"/>
      <c r="N13" s="5"/>
    </row>
    <row r="14" customFormat="false" ht="12.75" hidden="false" customHeight="true" outlineLevel="0" collapsed="false">
      <c r="A14" s="1" t="n">
        <f aca="false">A13+TIME(0,30,0)</f>
        <v>0.958333333333333</v>
      </c>
      <c r="B14" s="4" t="n">
        <f aca="false">A14+TIME(0,$Q$1,0)</f>
        <v>0.979166666666667</v>
      </c>
      <c r="C14" s="5"/>
      <c r="D14" s="5"/>
      <c r="F14" s="5"/>
      <c r="G14" s="5"/>
      <c r="H14" s="7"/>
      <c r="I14" s="5" t="s">
        <v>29</v>
      </c>
      <c r="J14" s="5"/>
      <c r="K14" s="5" t="s">
        <v>30</v>
      </c>
      <c r="L14" s="5"/>
      <c r="M14" s="5"/>
      <c r="N14" s="5"/>
    </row>
    <row r="15" customFormat="false" ht="12.75" hidden="false" customHeight="true" outlineLevel="0" collapsed="false">
      <c r="A15" s="1" t="n">
        <f aca="false">A14+TIME(0,30,0)</f>
        <v>0.979166666666667</v>
      </c>
      <c r="B15" s="4" t="n">
        <f aca="false">A15+TIME(0,$Q$1,0)</f>
        <v>1</v>
      </c>
      <c r="C15" s="5"/>
      <c r="D15" s="5"/>
      <c r="F15" s="5"/>
      <c r="G15" s="5"/>
      <c r="H15" s="7"/>
      <c r="I15" s="5"/>
      <c r="J15" s="5"/>
      <c r="K15" s="5"/>
      <c r="L15" s="5"/>
      <c r="M15" s="5"/>
      <c r="N15" s="5"/>
    </row>
    <row r="16" customFormat="false" ht="12.75" hidden="false" customHeight="true" outlineLevel="0" collapsed="false">
      <c r="A16" s="1" t="n">
        <f aca="false">A15+TIME(0,30,0)</f>
        <v>1</v>
      </c>
      <c r="B16" s="4" t="n">
        <f aca="false">A16+TIME(0,$Q$1,0)</f>
        <v>1.02083333333333</v>
      </c>
      <c r="C16" s="5" t="s">
        <v>31</v>
      </c>
      <c r="D16" s="5"/>
      <c r="E16" s="5"/>
      <c r="F16" s="5"/>
      <c r="G16" s="5"/>
      <c r="H16" s="7"/>
      <c r="I16" s="5"/>
      <c r="J16" s="5"/>
      <c r="K16" s="5"/>
    </row>
    <row r="17" customFormat="false" ht="12.75" hidden="false" customHeight="true" outlineLevel="0" collapsed="false">
      <c r="A17" s="1" t="n">
        <f aca="false">A16+TIME(0,30,0)</f>
        <v>1.02083333333333</v>
      </c>
      <c r="B17" s="4" t="n">
        <f aca="false">A17+TIME(0,$Q$1,0)</f>
        <v>1.04166666666667</v>
      </c>
      <c r="C17" s="5"/>
      <c r="D17" s="5"/>
      <c r="E17" s="5"/>
      <c r="F17" s="5"/>
      <c r="G17" s="5"/>
      <c r="H17" s="7"/>
      <c r="I17" s="5"/>
      <c r="J17" s="5"/>
      <c r="K17" s="5"/>
    </row>
    <row r="18" customFormat="false" ht="12.75" hidden="false" customHeight="true" outlineLevel="0" collapsed="false">
      <c r="A18" s="1" t="n">
        <f aca="false">A17+TIME(0,30,0)</f>
        <v>1.04166666666667</v>
      </c>
      <c r="B18" s="4" t="n">
        <f aca="false">A18+TIME(0,$Q$1,0)</f>
        <v>1.0625</v>
      </c>
      <c r="C18" s="5"/>
      <c r="D18" s="5"/>
      <c r="E18" s="5"/>
      <c r="F18" s="5"/>
      <c r="G18" s="5"/>
      <c r="H18" s="7"/>
      <c r="I18" s="5" t="s">
        <v>32</v>
      </c>
      <c r="J18" s="5"/>
      <c r="K18" s="5"/>
    </row>
    <row r="19" customFormat="false" ht="12.75" hidden="false" customHeight="true" outlineLevel="0" collapsed="false">
      <c r="A19" s="1" t="n">
        <f aca="false">A18+TIME(0,30,0)</f>
        <v>1.0625</v>
      </c>
      <c r="B19" s="4" t="n">
        <f aca="false">A19+TIME(0,$Q$1,0)</f>
        <v>1.08333333333333</v>
      </c>
      <c r="C19" s="5"/>
      <c r="D19" s="5"/>
      <c r="E19" s="5"/>
      <c r="F19" s="5"/>
      <c r="G19" s="5"/>
      <c r="H19" s="7"/>
      <c r="I19" s="5" t="s">
        <v>33</v>
      </c>
      <c r="J19" s="5"/>
      <c r="K19" s="5"/>
    </row>
    <row r="20" customFormat="false" ht="12.75" hidden="false" customHeight="true" outlineLevel="0" collapsed="false">
      <c r="A20" s="1" t="n">
        <f aca="false">A19+TIME(0,30,0)</f>
        <v>1.08333333333333</v>
      </c>
      <c r="B20" s="4" t="n">
        <f aca="false">A20+TIME(0,$Q$1,0)</f>
        <v>1.10416666666667</v>
      </c>
      <c r="C20" s="5"/>
      <c r="D20" s="5"/>
      <c r="E20" s="5"/>
      <c r="F20" s="5"/>
      <c r="G20" s="5"/>
      <c r="H20" s="7"/>
      <c r="I20" s="5"/>
      <c r="J20" s="5"/>
      <c r="K20" s="5"/>
    </row>
    <row r="21" customFormat="false" ht="12.75" hidden="false" customHeight="true" outlineLevel="0" collapsed="false">
      <c r="A21" s="1" t="n">
        <f aca="false">A20+TIME(0,30,0)</f>
        <v>1.10416666666667</v>
      </c>
      <c r="B21" s="4" t="n">
        <f aca="false">A21+TIME(0,$Q$1,0)</f>
        <v>1.125</v>
      </c>
      <c r="C21" s="5"/>
      <c r="D21" s="5"/>
      <c r="E21" s="5"/>
      <c r="F21" s="5"/>
      <c r="G21" s="5"/>
      <c r="H21" s="7"/>
      <c r="I21" s="5"/>
      <c r="J21" s="5"/>
      <c r="K21" s="5"/>
    </row>
    <row r="22" customFormat="false" ht="12.75" hidden="false" customHeight="true" outlineLevel="0" collapsed="false">
      <c r="A22" s="1" t="n">
        <f aca="false">A21+TIME(0,30,0)</f>
        <v>1.125</v>
      </c>
      <c r="B22" s="4" t="n">
        <f aca="false">A22+TIME(0,$Q$1,0)</f>
        <v>1.14583333333333</v>
      </c>
      <c r="C22" s="5"/>
      <c r="D22" s="5"/>
      <c r="E22" s="5"/>
      <c r="F22" s="5"/>
      <c r="G22" s="5"/>
      <c r="H22" s="7"/>
      <c r="I22" s="5"/>
      <c r="J22" s="5"/>
      <c r="K22" s="5"/>
    </row>
    <row r="23" customFormat="false" ht="12.75" hidden="false" customHeight="true" outlineLevel="0" collapsed="false">
      <c r="A23" s="1" t="n">
        <f aca="false">A22+TIME(0,30,0)</f>
        <v>1.14583333333333</v>
      </c>
      <c r="B23" s="4" t="n">
        <f aca="false">A23+TIME(0,$Q$1,0)</f>
        <v>1.16666666666667</v>
      </c>
      <c r="C23" s="5"/>
      <c r="D23" s="5"/>
      <c r="E23" s="5"/>
      <c r="F23" s="5"/>
      <c r="G23" s="5"/>
      <c r="H23" s="7"/>
      <c r="I23" s="5"/>
      <c r="J23" s="5"/>
      <c r="K23" s="5"/>
    </row>
    <row r="24" customFormat="false" ht="12.75" hidden="false" customHeight="true" outlineLevel="0" collapsed="false">
      <c r="A24" s="1" t="n">
        <f aca="false">A23+TIME(0,30,0)</f>
        <v>1.16666666666667</v>
      </c>
      <c r="B24" s="4" t="n">
        <f aca="false">A24+TIME(0,$Q$1,0)</f>
        <v>1.1875</v>
      </c>
      <c r="C24" s="5" t="s">
        <v>34</v>
      </c>
      <c r="D24" s="5"/>
      <c r="E24" s="5"/>
      <c r="F24" s="5" t="s">
        <v>34</v>
      </c>
      <c r="G24" s="5"/>
      <c r="H24" s="5"/>
      <c r="I24" s="5" t="s">
        <v>34</v>
      </c>
      <c r="J24" s="5"/>
      <c r="K24" s="5"/>
    </row>
    <row r="25" customFormat="false" ht="12.75" hidden="false" customHeight="true" outlineLevel="0" collapsed="false">
      <c r="B25" s="4"/>
    </row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>
      <c r="O31" s="1"/>
    </row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>
      <c r="C35" s="8"/>
      <c r="D35" s="8"/>
      <c r="F35" s="3"/>
      <c r="I35" s="3"/>
      <c r="L35" s="3"/>
    </row>
    <row r="36" customFormat="false" ht="12.75" hidden="false" customHeight="true" outlineLevel="0" collapsed="false">
      <c r="C36" s="3"/>
      <c r="F36" s="3"/>
      <c r="L36" s="3"/>
    </row>
    <row r="37" customFormat="false" ht="12.75" hidden="false" customHeight="true" outlineLevel="0" collapsed="false"/>
    <row r="38" customFormat="false" ht="12.75" hidden="false" customHeight="true" outlineLevel="0" collapsed="false">
      <c r="C38" s="3"/>
      <c r="E38" s="9"/>
      <c r="F38" s="3"/>
      <c r="G38" s="3"/>
      <c r="I38" s="3"/>
      <c r="L38" s="3"/>
    </row>
    <row r="39" customFormat="false" ht="12.75" hidden="false" customHeight="true" outlineLevel="0" collapsed="false">
      <c r="C39" s="3"/>
      <c r="D39" s="3"/>
    </row>
    <row r="40" customFormat="false" ht="12.75" hidden="false" customHeight="true" outlineLevel="0" collapsed="false">
      <c r="F40" s="3"/>
      <c r="I40" s="3"/>
    </row>
    <row r="41" customFormat="false" ht="12.75" hidden="false" customHeight="true" outlineLevel="0" collapsed="false">
      <c r="I41" s="10"/>
      <c r="K41" s="3"/>
    </row>
    <row r="42" customFormat="false" ht="12.75" hidden="false" customHeight="true" outlineLevel="0" collapsed="false">
      <c r="C42" s="3"/>
    </row>
    <row r="43" customFormat="false" ht="12.75" hidden="false" customHeight="true" outlineLevel="0" collapsed="false">
      <c r="I43" s="3"/>
    </row>
    <row r="44" customFormat="false" ht="12.75" hidden="false" customHeight="true" outlineLevel="0" collapsed="false">
      <c r="I44" s="3"/>
    </row>
    <row r="45" customFormat="false" ht="12.75" hidden="false" customHeight="true" outlineLevel="0" collapsed="false"/>
    <row r="46" customFormat="false" ht="12.75" hidden="false" customHeight="true" outlineLevel="0" collapsed="false">
      <c r="C46" s="3"/>
    </row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48576" customFormat="false" ht="12.8" hidden="false" customHeight="true" outlineLevel="0" collapsed="false"/>
  </sheetData>
  <mergeCells count="38">
    <mergeCell ref="C1:E1"/>
    <mergeCell ref="F1:H1"/>
    <mergeCell ref="I1:K1"/>
    <mergeCell ref="L1:N1"/>
    <mergeCell ref="C2:C3"/>
    <mergeCell ref="D2:D3"/>
    <mergeCell ref="E2:E3"/>
    <mergeCell ref="F2:G3"/>
    <mergeCell ref="H2:H3"/>
    <mergeCell ref="I2:J4"/>
    <mergeCell ref="K2:K4"/>
    <mergeCell ref="L2:M3"/>
    <mergeCell ref="N2:N3"/>
    <mergeCell ref="C4:E7"/>
    <mergeCell ref="F4:H7"/>
    <mergeCell ref="L4:N7"/>
    <mergeCell ref="I5:K8"/>
    <mergeCell ref="C8:C9"/>
    <mergeCell ref="D8:D9"/>
    <mergeCell ref="E8:E11"/>
    <mergeCell ref="F8:F9"/>
    <mergeCell ref="G8:G9"/>
    <mergeCell ref="H8:H11"/>
    <mergeCell ref="L8:N15"/>
    <mergeCell ref="I9:J13"/>
    <mergeCell ref="K9:K13"/>
    <mergeCell ref="C10:C15"/>
    <mergeCell ref="D10:D15"/>
    <mergeCell ref="F10:G23"/>
    <mergeCell ref="H12:H23"/>
    <mergeCell ref="I14:J17"/>
    <mergeCell ref="K14:K17"/>
    <mergeCell ref="C16:E23"/>
    <mergeCell ref="I18:K18"/>
    <mergeCell ref="I19:K23"/>
    <mergeCell ref="C24:E24"/>
    <mergeCell ref="F24:H24"/>
    <mergeCell ref="I24:K24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2025-07-25T23:33:54Z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